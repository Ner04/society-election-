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Teams" sheetId="2" state="visible" r:id="rId4"/>
    <sheet name="Block Weights" sheetId="3" state="visible" r:id="rId5"/>
    <sheet name="Vot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From you: A block is 1500 sq ft with weight 1.25.</t>
        </r>
      </text>
    </comment>
    <comment ref="C6" authorId="0">
      <text>
        <r>
          <rPr>
            <sz val="10"/>
            <rFont val="Arial"/>
            <family val="2"/>
          </rPr>
          <t xml:space="preserve">Placeholder: B and C sizes/weights were guessed for the demo. Replace with your actual values.</t>
        </r>
      </text>
    </comment>
    <comment ref="C8" authorId="0">
      <text>
        <r>
          <rPr>
            <sz val="10"/>
            <rFont val="Arial"/>
            <family val="2"/>
          </rPr>
          <t xml:space="preserve">From you: D block (bigger flats) weight 1.75. Area 2100 sq ft is a placeholder.</t>
        </r>
      </text>
    </comment>
  </commentList>
</comments>
</file>

<file path=xl/sharedStrings.xml><?xml version="1.0" encoding="utf-8"?>
<sst xmlns="http://schemas.openxmlformats.org/spreadsheetml/2006/main" count="364" uniqueCount="179">
  <si>
    <t xml:space="preserve">Managing Committee — Dummy Candidates</t>
  </si>
  <si>
    <t xml:space="preserve">Post: Managing Committee · 10 seats · each voter picks up to 10 (teams can be mixed). Dummy data for practice.</t>
  </si>
  <si>
    <t xml:space="preserve">Team</t>
  </si>
  <si>
    <t xml:space="preserve">Colour</t>
  </si>
  <si>
    <t xml:space="preserve">Symbol</t>
  </si>
  <si>
    <t xml:space="preserve">No.</t>
  </si>
  <si>
    <t xml:space="preserve">Candidate Name</t>
  </si>
  <si>
    <t xml:space="preserve">Flat</t>
  </si>
  <si>
    <t xml:space="preserve">Block</t>
  </si>
  <si>
    <t xml:space="preserve">Team Green</t>
  </si>
  <si>
    <t xml:space="preserve">Green</t>
  </si>
  <si>
    <t xml:space="preserve">🍃</t>
  </si>
  <si>
    <t xml:space="preserve">Ramesh Sharma</t>
  </si>
  <si>
    <t xml:space="preserve">A-101</t>
  </si>
  <si>
    <t xml:space="preserve">Sunita Verma</t>
  </si>
  <si>
    <t xml:space="preserve">B-204</t>
  </si>
  <si>
    <t xml:space="preserve">Anil Kapoor</t>
  </si>
  <si>
    <t xml:space="preserve">C-302</t>
  </si>
  <si>
    <t xml:space="preserve">Priya Nair</t>
  </si>
  <si>
    <t xml:space="preserve">A-305</t>
  </si>
  <si>
    <t xml:space="preserve">Vikram Singh</t>
  </si>
  <si>
    <t xml:space="preserve">D-102</t>
  </si>
  <si>
    <t xml:space="preserve">Meena Joshi</t>
  </si>
  <si>
    <t xml:space="preserve">B-110</t>
  </si>
  <si>
    <t xml:space="preserve">Rajiv Mehta</t>
  </si>
  <si>
    <t xml:space="preserve">C-208</t>
  </si>
  <si>
    <t xml:space="preserve">Kavita Rao</t>
  </si>
  <si>
    <t xml:space="preserve">A-202</t>
  </si>
  <si>
    <t xml:space="preserve">Deepak Gupta</t>
  </si>
  <si>
    <t xml:space="preserve">B-301</t>
  </si>
  <si>
    <t xml:space="preserve">Farhan Ali</t>
  </si>
  <si>
    <t xml:space="preserve">C-104</t>
  </si>
  <si>
    <t xml:space="preserve">Team Yellow</t>
  </si>
  <si>
    <t xml:space="preserve">Yellow</t>
  </si>
  <si>
    <t xml:space="preserve">🌻</t>
  </si>
  <si>
    <t xml:space="preserve">Lakshmi Iyer</t>
  </si>
  <si>
    <t xml:space="preserve">D-210</t>
  </si>
  <si>
    <t xml:space="preserve">Harpreet Kaur</t>
  </si>
  <si>
    <t xml:space="preserve">A-410</t>
  </si>
  <si>
    <t xml:space="preserve">Sameer Khan</t>
  </si>
  <si>
    <t xml:space="preserve">B-402</t>
  </si>
  <si>
    <t xml:space="preserve">Neha Agarwal</t>
  </si>
  <si>
    <t xml:space="preserve">C-110</t>
  </si>
  <si>
    <t xml:space="preserve">Rohit Bansal</t>
  </si>
  <si>
    <t xml:space="preserve">D-305</t>
  </si>
  <si>
    <t xml:space="preserve">Anjali Desai</t>
  </si>
  <si>
    <t xml:space="preserve">A-108</t>
  </si>
  <si>
    <t xml:space="preserve">Manoj Tiwari</t>
  </si>
  <si>
    <t xml:space="preserve">B-215</t>
  </si>
  <si>
    <t xml:space="preserve">Shalini Gupta</t>
  </si>
  <si>
    <t xml:space="preserve">C-406</t>
  </si>
  <si>
    <t xml:space="preserve">Imran Qureshi</t>
  </si>
  <si>
    <t xml:space="preserve">D-120</t>
  </si>
  <si>
    <t xml:space="preserve">Pallavi Joshi</t>
  </si>
  <si>
    <t xml:space="preserve">A-312</t>
  </si>
  <si>
    <t xml:space="preserve">Team Orange</t>
  </si>
  <si>
    <t xml:space="preserve">Orange</t>
  </si>
  <si>
    <t xml:space="preserve">🍊</t>
  </si>
  <si>
    <t xml:space="preserve">Vivek Chauhan</t>
  </si>
  <si>
    <t xml:space="preserve">B-118</t>
  </si>
  <si>
    <t xml:space="preserve">Ritu Malhotra</t>
  </si>
  <si>
    <t xml:space="preserve">C-221</t>
  </si>
  <si>
    <t xml:space="preserve">Sandeep Yadav</t>
  </si>
  <si>
    <t xml:space="preserve">D-401</t>
  </si>
  <si>
    <t xml:space="preserve">Fatima Shaikh</t>
  </si>
  <si>
    <t xml:space="preserve">A-215</t>
  </si>
  <si>
    <t xml:space="preserve">Gaurav Sethi</t>
  </si>
  <si>
    <t xml:space="preserve">B-309</t>
  </si>
  <si>
    <t xml:space="preserve">Kiran Bedi</t>
  </si>
  <si>
    <t xml:space="preserve">C-115</t>
  </si>
  <si>
    <t xml:space="preserve">Ashok Pandey</t>
  </si>
  <si>
    <t xml:space="preserve">D-211</t>
  </si>
  <si>
    <t xml:space="preserve">Nisha Rawat</t>
  </si>
  <si>
    <t xml:space="preserve">A-404</t>
  </si>
  <si>
    <t xml:space="preserve">Tarun Arora</t>
  </si>
  <si>
    <t xml:space="preserve">B-122</t>
  </si>
  <si>
    <t xml:space="preserve">Swati Kulkarni</t>
  </si>
  <si>
    <t xml:space="preserve">C-318</t>
  </si>
  <si>
    <t xml:space="preserve">Total candidates</t>
  </si>
  <si>
    <t xml:space="preserve">Teams Summary</t>
  </si>
  <si>
    <t xml:space="preserve">Counts are formulas that read the Candidates sheet.</t>
  </si>
  <si>
    <t xml:space="preserve">Candidates</t>
  </si>
  <si>
    <t xml:space="preserve">From Block A</t>
  </si>
  <si>
    <t xml:space="preserve">From Block B</t>
  </si>
  <si>
    <t xml:space="preserve">From Block C</t>
  </si>
  <si>
    <t xml:space="preserve">From Block D</t>
  </si>
  <si>
    <t xml:space="preserve">Total</t>
  </si>
  <si>
    <t xml:space="preserve">Vote Weight by Block</t>
  </si>
  <si>
    <t xml:space="preserve">Blue cells with yellow fill are inputs — change them to match your society. Voter weights update automatically.</t>
  </si>
  <si>
    <t xml:space="preserve">Area (sq ft)</t>
  </si>
  <si>
    <t xml:space="preserve">Vote Weight</t>
  </si>
  <si>
    <t xml:space="preserve">Flats (voters)</t>
  </si>
  <si>
    <t xml:space="preserve">Total Vote Value</t>
  </si>
  <si>
    <t xml:space="preserve">A</t>
  </si>
  <si>
    <t xml:space="preserve">B</t>
  </si>
  <si>
    <t xml:space="preserve">C</t>
  </si>
  <si>
    <t xml:space="preserve">D</t>
  </si>
  <si>
    <t xml:space="preserve">Other flats (no matching block) weight:</t>
  </si>
  <si>
    <t xml:space="preserve">How results are counted: a candidate's score = sum of the vote weights of every voter who chose them. Top 10 scores are elected.</t>
  </si>
  <si>
    <t xml:space="preserve">Dummy Voters (40)</t>
  </si>
  <si>
    <t xml:space="preserve">Vote Weight is looked up from the Block Weights sheet. Voter IDs match the app (V0001–V0040).</t>
  </si>
  <si>
    <t xml:space="preserve">Voter ID</t>
  </si>
  <si>
    <t xml:space="preserve">Name</t>
  </si>
  <si>
    <t xml:space="preserve">Photo ID Type</t>
  </si>
  <si>
    <t xml:space="preserve">V0001</t>
  </si>
  <si>
    <t xml:space="preserve">Asha Kulkarni</t>
  </si>
  <si>
    <t xml:space="preserve">Society ID Card</t>
  </si>
  <si>
    <t xml:space="preserve">V0002</t>
  </si>
  <si>
    <t xml:space="preserve">Mohan Das</t>
  </si>
  <si>
    <t xml:space="preserve">A-102</t>
  </si>
  <si>
    <t xml:space="preserve">V0003</t>
  </si>
  <si>
    <t xml:space="preserve">Geeta Bhatia</t>
  </si>
  <si>
    <t xml:space="preserve">A-201</t>
  </si>
  <si>
    <t xml:space="preserve">V0004</t>
  </si>
  <si>
    <t xml:space="preserve">Kunal Shah</t>
  </si>
  <si>
    <t xml:space="preserve">A-204</t>
  </si>
  <si>
    <t xml:space="preserve">V0005</t>
  </si>
  <si>
    <t xml:space="preserve">A-301</t>
  </si>
  <si>
    <t xml:space="preserve">V0006</t>
  </si>
  <si>
    <t xml:space="preserve">V0007</t>
  </si>
  <si>
    <t xml:space="preserve">V0008</t>
  </si>
  <si>
    <t xml:space="preserve">V0009</t>
  </si>
  <si>
    <t xml:space="preserve">Rahul Mishra</t>
  </si>
  <si>
    <t xml:space="preserve">A-502</t>
  </si>
  <si>
    <t xml:space="preserve">V0010</t>
  </si>
  <si>
    <t xml:space="preserve">Seema Kohli</t>
  </si>
  <si>
    <t xml:space="preserve">A-506</t>
  </si>
  <si>
    <t xml:space="preserve">V0011</t>
  </si>
  <si>
    <t xml:space="preserve">Sanjay Malhotra</t>
  </si>
  <si>
    <t xml:space="preserve">B-101</t>
  </si>
  <si>
    <t xml:space="preserve">V0012</t>
  </si>
  <si>
    <t xml:space="preserve">Nirmala Devi</t>
  </si>
  <si>
    <t xml:space="preserve">B-102</t>
  </si>
  <si>
    <t xml:space="preserve">V0013</t>
  </si>
  <si>
    <t xml:space="preserve">V0014</t>
  </si>
  <si>
    <t xml:space="preserve">V0015</t>
  </si>
  <si>
    <t xml:space="preserve">Arjun Reddy</t>
  </si>
  <si>
    <t xml:space="preserve">B-202</t>
  </si>
  <si>
    <t xml:space="preserve">V0016</t>
  </si>
  <si>
    <t xml:space="preserve">V0017</t>
  </si>
  <si>
    <t xml:space="preserve">V0018</t>
  </si>
  <si>
    <t xml:space="preserve">V0019</t>
  </si>
  <si>
    <t xml:space="preserve">V0020</t>
  </si>
  <si>
    <t xml:space="preserve">Alka Sinha</t>
  </si>
  <si>
    <t xml:space="preserve">B-405</t>
  </si>
  <si>
    <t xml:space="preserve">V0021</t>
  </si>
  <si>
    <t xml:space="preserve">Pooja Saxena</t>
  </si>
  <si>
    <t xml:space="preserve">C-101</t>
  </si>
  <si>
    <t xml:space="preserve">V0022</t>
  </si>
  <si>
    <t xml:space="preserve">V0023</t>
  </si>
  <si>
    <t xml:space="preserve">V0024</t>
  </si>
  <si>
    <t xml:space="preserve">V0025</t>
  </si>
  <si>
    <t xml:space="preserve">Suresh Pillai</t>
  </si>
  <si>
    <t xml:space="preserve">C-201</t>
  </si>
  <si>
    <t xml:space="preserve">V0026</t>
  </si>
  <si>
    <t xml:space="preserve">V0027</t>
  </si>
  <si>
    <t xml:space="preserve">V0028</t>
  </si>
  <si>
    <t xml:space="preserve">V0029</t>
  </si>
  <si>
    <t xml:space="preserve">V0030</t>
  </si>
  <si>
    <t xml:space="preserve">V0031</t>
  </si>
  <si>
    <t xml:space="preserve">Rekha Menon</t>
  </si>
  <si>
    <t xml:space="preserve">D-101</t>
  </si>
  <si>
    <t xml:space="preserve">V0032</t>
  </si>
  <si>
    <t xml:space="preserve">V0033</t>
  </si>
  <si>
    <t xml:space="preserve">V0034</t>
  </si>
  <si>
    <t xml:space="preserve">Gopal Krishnan</t>
  </si>
  <si>
    <t xml:space="preserve">D-202</t>
  </si>
  <si>
    <t xml:space="preserve">V0035</t>
  </si>
  <si>
    <t xml:space="preserve">V0036</t>
  </si>
  <si>
    <t xml:space="preserve">V0037</t>
  </si>
  <si>
    <t xml:space="preserve">Usha Rani</t>
  </si>
  <si>
    <t xml:space="preserve">D-303</t>
  </si>
  <si>
    <t xml:space="preserve">V0038</t>
  </si>
  <si>
    <t xml:space="preserve">V0039</t>
  </si>
  <si>
    <t xml:space="preserve">V0040</t>
  </si>
  <si>
    <t xml:space="preserve">Bhavna Chopra</t>
  </si>
  <si>
    <t xml:space="preserve">D-406</t>
  </si>
  <si>
    <t xml:space="preserve">Total voters</t>
  </si>
  <si>
    <t xml:space="preserve">Total vote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</si>
</sst>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B64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A16207"/>
      <name val="Arial"/>
      <family val="0"/>
      <charset val="1"/>
    </font>
    <font>
      <b val="true"/>
      <sz val="11"/>
      <color rgb="FFEA580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8212F"/>
        <bgColor rgb="FF003300"/>
      </patternFill>
    </fill>
    <fill>
      <patternFill patternType="solid">
        <fgColor rgb="FFDCFCE7"/>
        <bgColor rgb="FFCCFFFF"/>
      </patternFill>
    </fill>
    <fill>
      <patternFill patternType="solid">
        <fgColor rgb="FFFEF9C3"/>
        <bgColor rgb="FFFFEDD5"/>
      </patternFill>
    </fill>
    <fill>
      <patternFill patternType="solid">
        <fgColor rgb="FFFFEDD5"/>
        <bgColor rgb="FFFEF9C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C2"/>
      </left>
      <right style="thin">
        <color rgb="FFD0CCC2"/>
      </right>
      <top style="thin">
        <color rgb="FFD0CCC2"/>
      </top>
      <bottom style="thin">
        <color rgb="FFD0CC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A16207"/>
      <rgbColor rgb="FF800080"/>
      <rgbColor rgb="FF008080"/>
      <rgbColor rgb="FFD0CCC2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D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580C"/>
      <rgbColor rgb="FF5B64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1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5" t="n">
        <v>1</v>
      </c>
      <c r="E5" s="6" t="s">
        <v>12</v>
      </c>
      <c r="F5" s="5" t="s">
        <v>13</v>
      </c>
      <c r="G5" s="5" t="str">
        <f aca="false">LEFT(F5,FIND("-",F5)-1)</f>
        <v>A</v>
      </c>
    </row>
    <row r="6" customFormat="false" ht="15" hidden="false" customHeight="false" outlineLevel="0" collapsed="false">
      <c r="A6" s="4" t="s">
        <v>9</v>
      </c>
      <c r="B6" s="5" t="s">
        <v>10</v>
      </c>
      <c r="C6" s="5" t="s">
        <v>11</v>
      </c>
      <c r="D6" s="5" t="n">
        <v>2</v>
      </c>
      <c r="E6" s="6" t="s">
        <v>14</v>
      </c>
      <c r="F6" s="5" t="s">
        <v>15</v>
      </c>
      <c r="G6" s="5" t="str">
        <f aca="false">LEFT(F6,FIND("-",F6)-1)</f>
        <v>B</v>
      </c>
    </row>
    <row r="7" customFormat="false" ht="15" hidden="false" customHeight="false" outlineLevel="0" collapsed="false">
      <c r="A7" s="4" t="s">
        <v>9</v>
      </c>
      <c r="B7" s="5" t="s">
        <v>10</v>
      </c>
      <c r="C7" s="5" t="s">
        <v>11</v>
      </c>
      <c r="D7" s="5" t="n">
        <v>3</v>
      </c>
      <c r="E7" s="6" t="s">
        <v>16</v>
      </c>
      <c r="F7" s="5" t="s">
        <v>17</v>
      </c>
      <c r="G7" s="5" t="str">
        <f aca="false">LEFT(F7,FIND("-",F7)-1)</f>
        <v>C</v>
      </c>
    </row>
    <row r="8" customFormat="false" ht="15" hidden="false" customHeight="false" outlineLevel="0" collapsed="false">
      <c r="A8" s="4" t="s">
        <v>9</v>
      </c>
      <c r="B8" s="5" t="s">
        <v>10</v>
      </c>
      <c r="C8" s="5" t="s">
        <v>11</v>
      </c>
      <c r="D8" s="5" t="n">
        <v>4</v>
      </c>
      <c r="E8" s="6" t="s">
        <v>18</v>
      </c>
      <c r="F8" s="5" t="s">
        <v>19</v>
      </c>
      <c r="G8" s="5" t="str">
        <f aca="false">LEFT(F8,FIND("-",F8)-1)</f>
        <v>A</v>
      </c>
    </row>
    <row r="9" customFormat="false" ht="15" hidden="false" customHeight="false" outlineLevel="0" collapsed="false">
      <c r="A9" s="4" t="s">
        <v>9</v>
      </c>
      <c r="B9" s="5" t="s">
        <v>10</v>
      </c>
      <c r="C9" s="5" t="s">
        <v>11</v>
      </c>
      <c r="D9" s="5" t="n">
        <v>5</v>
      </c>
      <c r="E9" s="6" t="s">
        <v>20</v>
      </c>
      <c r="F9" s="5" t="s">
        <v>21</v>
      </c>
      <c r="G9" s="5" t="str">
        <f aca="false">LEFT(F9,FIND("-",F9)-1)</f>
        <v>D</v>
      </c>
    </row>
    <row r="10" customFormat="false" ht="15" hidden="false" customHeight="false" outlineLevel="0" collapsed="false">
      <c r="A10" s="4" t="s">
        <v>9</v>
      </c>
      <c r="B10" s="5" t="s">
        <v>10</v>
      </c>
      <c r="C10" s="5" t="s">
        <v>11</v>
      </c>
      <c r="D10" s="5" t="n">
        <v>6</v>
      </c>
      <c r="E10" s="6" t="s">
        <v>22</v>
      </c>
      <c r="F10" s="5" t="s">
        <v>23</v>
      </c>
      <c r="G10" s="5" t="str">
        <f aca="false">LEFT(F10,FIND("-",F10)-1)</f>
        <v>B</v>
      </c>
    </row>
    <row r="11" customFormat="false" ht="15" hidden="false" customHeight="false" outlineLevel="0" collapsed="false">
      <c r="A11" s="4" t="s">
        <v>9</v>
      </c>
      <c r="B11" s="5" t="s">
        <v>10</v>
      </c>
      <c r="C11" s="5" t="s">
        <v>11</v>
      </c>
      <c r="D11" s="5" t="n">
        <v>7</v>
      </c>
      <c r="E11" s="6" t="s">
        <v>24</v>
      </c>
      <c r="F11" s="5" t="s">
        <v>25</v>
      </c>
      <c r="G11" s="5" t="str">
        <f aca="false">LEFT(F11,FIND("-",F11)-1)</f>
        <v>C</v>
      </c>
    </row>
    <row r="12" customFormat="false" ht="15" hidden="false" customHeight="false" outlineLevel="0" collapsed="false">
      <c r="A12" s="4" t="s">
        <v>9</v>
      </c>
      <c r="B12" s="5" t="s">
        <v>10</v>
      </c>
      <c r="C12" s="5" t="s">
        <v>11</v>
      </c>
      <c r="D12" s="5" t="n">
        <v>8</v>
      </c>
      <c r="E12" s="6" t="s">
        <v>26</v>
      </c>
      <c r="F12" s="5" t="s">
        <v>27</v>
      </c>
      <c r="G12" s="5" t="str">
        <f aca="false">LEFT(F12,FIND("-",F12)-1)</f>
        <v>A</v>
      </c>
    </row>
    <row r="13" customFormat="false" ht="15" hidden="false" customHeight="false" outlineLevel="0" collapsed="false">
      <c r="A13" s="4" t="s">
        <v>9</v>
      </c>
      <c r="B13" s="5" t="s">
        <v>10</v>
      </c>
      <c r="C13" s="5" t="s">
        <v>11</v>
      </c>
      <c r="D13" s="5" t="n">
        <v>9</v>
      </c>
      <c r="E13" s="6" t="s">
        <v>28</v>
      </c>
      <c r="F13" s="5" t="s">
        <v>29</v>
      </c>
      <c r="G13" s="5" t="str">
        <f aca="false">LEFT(F13,FIND("-",F13)-1)</f>
        <v>B</v>
      </c>
    </row>
    <row r="14" customFormat="false" ht="15" hidden="false" customHeight="false" outlineLevel="0" collapsed="false">
      <c r="A14" s="4" t="s">
        <v>9</v>
      </c>
      <c r="B14" s="5" t="s">
        <v>10</v>
      </c>
      <c r="C14" s="5" t="s">
        <v>11</v>
      </c>
      <c r="D14" s="5" t="n">
        <v>10</v>
      </c>
      <c r="E14" s="6" t="s">
        <v>30</v>
      </c>
      <c r="F14" s="5" t="s">
        <v>31</v>
      </c>
      <c r="G14" s="5" t="str">
        <f aca="false">LEFT(F14,FIND("-",F14)-1)</f>
        <v>C</v>
      </c>
    </row>
    <row r="15" customFormat="false" ht="15" hidden="false" customHeight="false" outlineLevel="0" collapsed="false">
      <c r="A15" s="7" t="s">
        <v>32</v>
      </c>
      <c r="B15" s="8" t="s">
        <v>33</v>
      </c>
      <c r="C15" s="8" t="s">
        <v>34</v>
      </c>
      <c r="D15" s="8" t="n">
        <v>1</v>
      </c>
      <c r="E15" s="9" t="s">
        <v>35</v>
      </c>
      <c r="F15" s="8" t="s">
        <v>36</v>
      </c>
      <c r="G15" s="8" t="str">
        <f aca="false">LEFT(F15,FIND("-",F15)-1)</f>
        <v>D</v>
      </c>
    </row>
    <row r="16" customFormat="false" ht="15" hidden="false" customHeight="false" outlineLevel="0" collapsed="false">
      <c r="A16" s="7" t="s">
        <v>32</v>
      </c>
      <c r="B16" s="8" t="s">
        <v>33</v>
      </c>
      <c r="C16" s="8" t="s">
        <v>34</v>
      </c>
      <c r="D16" s="8" t="n">
        <v>2</v>
      </c>
      <c r="E16" s="9" t="s">
        <v>37</v>
      </c>
      <c r="F16" s="8" t="s">
        <v>38</v>
      </c>
      <c r="G16" s="8" t="str">
        <f aca="false">LEFT(F16,FIND("-",F16)-1)</f>
        <v>A</v>
      </c>
    </row>
    <row r="17" customFormat="false" ht="15" hidden="false" customHeight="false" outlineLevel="0" collapsed="false">
      <c r="A17" s="7" t="s">
        <v>32</v>
      </c>
      <c r="B17" s="8" t="s">
        <v>33</v>
      </c>
      <c r="C17" s="8" t="s">
        <v>34</v>
      </c>
      <c r="D17" s="8" t="n">
        <v>3</v>
      </c>
      <c r="E17" s="9" t="s">
        <v>39</v>
      </c>
      <c r="F17" s="8" t="s">
        <v>40</v>
      </c>
      <c r="G17" s="8" t="str">
        <f aca="false">LEFT(F17,FIND("-",F17)-1)</f>
        <v>B</v>
      </c>
    </row>
    <row r="18" customFormat="false" ht="15" hidden="false" customHeight="false" outlineLevel="0" collapsed="false">
      <c r="A18" s="7" t="s">
        <v>32</v>
      </c>
      <c r="B18" s="8" t="s">
        <v>33</v>
      </c>
      <c r="C18" s="8" t="s">
        <v>34</v>
      </c>
      <c r="D18" s="8" t="n">
        <v>4</v>
      </c>
      <c r="E18" s="9" t="s">
        <v>41</v>
      </c>
      <c r="F18" s="8" t="s">
        <v>42</v>
      </c>
      <c r="G18" s="8" t="str">
        <f aca="false">LEFT(F18,FIND("-",F18)-1)</f>
        <v>C</v>
      </c>
    </row>
    <row r="19" customFormat="false" ht="15" hidden="false" customHeight="false" outlineLevel="0" collapsed="false">
      <c r="A19" s="7" t="s">
        <v>32</v>
      </c>
      <c r="B19" s="8" t="s">
        <v>33</v>
      </c>
      <c r="C19" s="8" t="s">
        <v>34</v>
      </c>
      <c r="D19" s="8" t="n">
        <v>5</v>
      </c>
      <c r="E19" s="9" t="s">
        <v>43</v>
      </c>
      <c r="F19" s="8" t="s">
        <v>44</v>
      </c>
      <c r="G19" s="8" t="str">
        <f aca="false">LEFT(F19,FIND("-",F19)-1)</f>
        <v>D</v>
      </c>
    </row>
    <row r="20" customFormat="false" ht="15" hidden="false" customHeight="false" outlineLevel="0" collapsed="false">
      <c r="A20" s="7" t="s">
        <v>32</v>
      </c>
      <c r="B20" s="8" t="s">
        <v>33</v>
      </c>
      <c r="C20" s="8" t="s">
        <v>34</v>
      </c>
      <c r="D20" s="8" t="n">
        <v>6</v>
      </c>
      <c r="E20" s="9" t="s">
        <v>45</v>
      </c>
      <c r="F20" s="8" t="s">
        <v>46</v>
      </c>
      <c r="G20" s="8" t="str">
        <f aca="false">LEFT(F20,FIND("-",F20)-1)</f>
        <v>A</v>
      </c>
    </row>
    <row r="21" customFormat="false" ht="15" hidden="false" customHeight="false" outlineLevel="0" collapsed="false">
      <c r="A21" s="7" t="s">
        <v>32</v>
      </c>
      <c r="B21" s="8" t="s">
        <v>33</v>
      </c>
      <c r="C21" s="8" t="s">
        <v>34</v>
      </c>
      <c r="D21" s="8" t="n">
        <v>7</v>
      </c>
      <c r="E21" s="9" t="s">
        <v>47</v>
      </c>
      <c r="F21" s="8" t="s">
        <v>48</v>
      </c>
      <c r="G21" s="8" t="str">
        <f aca="false">LEFT(F21,FIND("-",F21)-1)</f>
        <v>B</v>
      </c>
    </row>
    <row r="22" customFormat="false" ht="15" hidden="false" customHeight="false" outlineLevel="0" collapsed="false">
      <c r="A22" s="7" t="s">
        <v>32</v>
      </c>
      <c r="B22" s="8" t="s">
        <v>33</v>
      </c>
      <c r="C22" s="8" t="s">
        <v>34</v>
      </c>
      <c r="D22" s="8" t="n">
        <v>8</v>
      </c>
      <c r="E22" s="9" t="s">
        <v>49</v>
      </c>
      <c r="F22" s="8" t="s">
        <v>50</v>
      </c>
      <c r="G22" s="8" t="str">
        <f aca="false">LEFT(F22,FIND("-",F22)-1)</f>
        <v>C</v>
      </c>
    </row>
    <row r="23" customFormat="false" ht="15" hidden="false" customHeight="false" outlineLevel="0" collapsed="false">
      <c r="A23" s="7" t="s">
        <v>32</v>
      </c>
      <c r="B23" s="8" t="s">
        <v>33</v>
      </c>
      <c r="C23" s="8" t="s">
        <v>34</v>
      </c>
      <c r="D23" s="8" t="n">
        <v>9</v>
      </c>
      <c r="E23" s="9" t="s">
        <v>51</v>
      </c>
      <c r="F23" s="8" t="s">
        <v>52</v>
      </c>
      <c r="G23" s="8" t="str">
        <f aca="false">LEFT(F23,FIND("-",F23)-1)</f>
        <v>D</v>
      </c>
    </row>
    <row r="24" customFormat="false" ht="15" hidden="false" customHeight="false" outlineLevel="0" collapsed="false">
      <c r="A24" s="7" t="s">
        <v>32</v>
      </c>
      <c r="B24" s="8" t="s">
        <v>33</v>
      </c>
      <c r="C24" s="8" t="s">
        <v>34</v>
      </c>
      <c r="D24" s="8" t="n">
        <v>10</v>
      </c>
      <c r="E24" s="9" t="s">
        <v>53</v>
      </c>
      <c r="F24" s="8" t="s">
        <v>54</v>
      </c>
      <c r="G24" s="8" t="str">
        <f aca="false">LEFT(F24,FIND("-",F24)-1)</f>
        <v>A</v>
      </c>
    </row>
    <row r="25" customFormat="false" ht="15" hidden="false" customHeight="false" outlineLevel="0" collapsed="false">
      <c r="A25" s="10" t="s">
        <v>55</v>
      </c>
      <c r="B25" s="11" t="s">
        <v>56</v>
      </c>
      <c r="C25" s="11" t="s">
        <v>57</v>
      </c>
      <c r="D25" s="11" t="n">
        <v>1</v>
      </c>
      <c r="E25" s="12" t="s">
        <v>58</v>
      </c>
      <c r="F25" s="11" t="s">
        <v>59</v>
      </c>
      <c r="G25" s="11" t="str">
        <f aca="false">LEFT(F25,FIND("-",F25)-1)</f>
        <v>B</v>
      </c>
    </row>
    <row r="26" customFormat="false" ht="15" hidden="false" customHeight="false" outlineLevel="0" collapsed="false">
      <c r="A26" s="10" t="s">
        <v>55</v>
      </c>
      <c r="B26" s="11" t="s">
        <v>56</v>
      </c>
      <c r="C26" s="11" t="s">
        <v>57</v>
      </c>
      <c r="D26" s="11" t="n">
        <v>2</v>
      </c>
      <c r="E26" s="12" t="s">
        <v>60</v>
      </c>
      <c r="F26" s="11" t="s">
        <v>61</v>
      </c>
      <c r="G26" s="11" t="str">
        <f aca="false">LEFT(F26,FIND("-",F26)-1)</f>
        <v>C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11" t="s">
        <v>57</v>
      </c>
      <c r="D27" s="11" t="n">
        <v>3</v>
      </c>
      <c r="E27" s="12" t="s">
        <v>62</v>
      </c>
      <c r="F27" s="11" t="s">
        <v>63</v>
      </c>
      <c r="G27" s="11" t="str">
        <f aca="false">LEFT(F27,FIND("-",F27)-1)</f>
        <v>D</v>
      </c>
    </row>
    <row r="28" customFormat="false" ht="15" hidden="false" customHeight="false" outlineLevel="0" collapsed="false">
      <c r="A28" s="10" t="s">
        <v>55</v>
      </c>
      <c r="B28" s="11" t="s">
        <v>56</v>
      </c>
      <c r="C28" s="11" t="s">
        <v>57</v>
      </c>
      <c r="D28" s="11" t="n">
        <v>4</v>
      </c>
      <c r="E28" s="12" t="s">
        <v>64</v>
      </c>
      <c r="F28" s="11" t="s">
        <v>65</v>
      </c>
      <c r="G28" s="11" t="str">
        <f aca="false">LEFT(F28,FIND("-",F28)-1)</f>
        <v>A</v>
      </c>
    </row>
    <row r="29" customFormat="false" ht="15" hidden="false" customHeight="false" outlineLevel="0" collapsed="false">
      <c r="A29" s="10" t="s">
        <v>55</v>
      </c>
      <c r="B29" s="11" t="s">
        <v>56</v>
      </c>
      <c r="C29" s="11" t="s">
        <v>57</v>
      </c>
      <c r="D29" s="11" t="n">
        <v>5</v>
      </c>
      <c r="E29" s="12" t="s">
        <v>66</v>
      </c>
      <c r="F29" s="11" t="s">
        <v>67</v>
      </c>
      <c r="G29" s="11" t="str">
        <f aca="false">LEFT(F29,FIND("-",F29)-1)</f>
        <v>B</v>
      </c>
    </row>
    <row r="30" customFormat="false" ht="15" hidden="false" customHeight="false" outlineLevel="0" collapsed="false">
      <c r="A30" s="10" t="s">
        <v>55</v>
      </c>
      <c r="B30" s="11" t="s">
        <v>56</v>
      </c>
      <c r="C30" s="11" t="s">
        <v>57</v>
      </c>
      <c r="D30" s="11" t="n">
        <v>6</v>
      </c>
      <c r="E30" s="12" t="s">
        <v>68</v>
      </c>
      <c r="F30" s="11" t="s">
        <v>69</v>
      </c>
      <c r="G30" s="11" t="str">
        <f aca="false">LEFT(F30,FIND("-",F30)-1)</f>
        <v>C</v>
      </c>
    </row>
    <row r="31" customFormat="false" ht="15" hidden="false" customHeight="false" outlineLevel="0" collapsed="false">
      <c r="A31" s="10" t="s">
        <v>55</v>
      </c>
      <c r="B31" s="11" t="s">
        <v>56</v>
      </c>
      <c r="C31" s="11" t="s">
        <v>57</v>
      </c>
      <c r="D31" s="11" t="n">
        <v>7</v>
      </c>
      <c r="E31" s="12" t="s">
        <v>70</v>
      </c>
      <c r="F31" s="11" t="s">
        <v>71</v>
      </c>
      <c r="G31" s="11" t="str">
        <f aca="false">LEFT(F31,FIND("-",F31)-1)</f>
        <v>D</v>
      </c>
    </row>
    <row r="32" customFormat="false" ht="15" hidden="false" customHeight="false" outlineLevel="0" collapsed="false">
      <c r="A32" s="10" t="s">
        <v>55</v>
      </c>
      <c r="B32" s="11" t="s">
        <v>56</v>
      </c>
      <c r="C32" s="11" t="s">
        <v>57</v>
      </c>
      <c r="D32" s="11" t="n">
        <v>8</v>
      </c>
      <c r="E32" s="12" t="s">
        <v>72</v>
      </c>
      <c r="F32" s="11" t="s">
        <v>73</v>
      </c>
      <c r="G32" s="11" t="str">
        <f aca="false">LEFT(F32,FIND("-",F32)-1)</f>
        <v>A</v>
      </c>
    </row>
    <row r="33" customFormat="false" ht="15" hidden="false" customHeight="false" outlineLevel="0" collapsed="false">
      <c r="A33" s="10" t="s">
        <v>55</v>
      </c>
      <c r="B33" s="11" t="s">
        <v>56</v>
      </c>
      <c r="C33" s="11" t="s">
        <v>57</v>
      </c>
      <c r="D33" s="11" t="n">
        <v>9</v>
      </c>
      <c r="E33" s="12" t="s">
        <v>74</v>
      </c>
      <c r="F33" s="11" t="s">
        <v>75</v>
      </c>
      <c r="G33" s="11" t="str">
        <f aca="false">LEFT(F33,FIND("-",F33)-1)</f>
        <v>B</v>
      </c>
    </row>
    <row r="34" customFormat="false" ht="15" hidden="false" customHeight="false" outlineLevel="0" collapsed="false">
      <c r="A34" s="10" t="s">
        <v>55</v>
      </c>
      <c r="B34" s="11" t="s">
        <v>56</v>
      </c>
      <c r="C34" s="11" t="s">
        <v>57</v>
      </c>
      <c r="D34" s="11" t="n">
        <v>10</v>
      </c>
      <c r="E34" s="12" t="s">
        <v>76</v>
      </c>
      <c r="F34" s="11" t="s">
        <v>77</v>
      </c>
      <c r="G34" s="11" t="str">
        <f aca="false">LEFT(F34,FIND("-",F34)-1)</f>
        <v>C</v>
      </c>
    </row>
    <row r="36" customFormat="false" ht="15" hidden="false" customHeight="false" outlineLevel="0" collapsed="false">
      <c r="E36" s="13" t="s">
        <v>78</v>
      </c>
      <c r="F36" s="13" t="n">
        <f aca="false">COUNTA(E5:E34)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8" min="5" style="0" width="13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5" t="n">
        <f aca="false">COUNTIF(Candidates!$A$5:$A$34,A5)</f>
        <v>10</v>
      </c>
      <c r="E5" s="5" t="n">
        <f aca="false">COUNTIFS(Candidates!$A$5:$A$34,$A5,Candidates!$G$5:$G$34,"A")</f>
        <v>3</v>
      </c>
      <c r="F5" s="5" t="n">
        <f aca="false">COUNTIFS(Candidates!$A$5:$A$34,$A5,Candidates!$G$5:$G$34,"B")</f>
        <v>3</v>
      </c>
      <c r="G5" s="5" t="n">
        <f aca="false">COUNTIFS(Candidates!$A$5:$A$34,$A5,Candidates!$G$5:$G$34,"C")</f>
        <v>3</v>
      </c>
      <c r="H5" s="5" t="n">
        <f aca="false">COUNTIFS(Candidates!$A$5:$A$34,$A5,Candidates!$G$5:$G$34,"D")</f>
        <v>1</v>
      </c>
    </row>
    <row r="6" customFormat="false" ht="15" hidden="false" customHeight="false" outlineLevel="0" collapsed="false">
      <c r="A6" s="7" t="s">
        <v>32</v>
      </c>
      <c r="B6" s="8" t="s">
        <v>33</v>
      </c>
      <c r="C6" s="8" t="s">
        <v>34</v>
      </c>
      <c r="D6" s="8" t="n">
        <f aca="false">COUNTIF(Candidates!$A$5:$A$34,A6)</f>
        <v>10</v>
      </c>
      <c r="E6" s="8" t="n">
        <f aca="false">COUNTIFS(Candidates!$A$5:$A$34,$A6,Candidates!$G$5:$G$34,"A")</f>
        <v>3</v>
      </c>
      <c r="F6" s="8" t="n">
        <f aca="false">COUNTIFS(Candidates!$A$5:$A$34,$A6,Candidates!$G$5:$G$34,"B")</f>
        <v>2</v>
      </c>
      <c r="G6" s="8" t="n">
        <f aca="false">COUNTIFS(Candidates!$A$5:$A$34,$A6,Candidates!$G$5:$G$34,"C")</f>
        <v>2</v>
      </c>
      <c r="H6" s="8" t="n">
        <f aca="false">COUNTIFS(Candidates!$A$5:$A$34,$A6,Candidates!$G$5:$G$34,"D")</f>
        <v>3</v>
      </c>
    </row>
    <row r="7" customFormat="false" ht="15" hidden="false" customHeight="false" outlineLevel="0" collapsed="false">
      <c r="A7" s="10" t="s">
        <v>55</v>
      </c>
      <c r="B7" s="11" t="s">
        <v>56</v>
      </c>
      <c r="C7" s="11" t="s">
        <v>57</v>
      </c>
      <c r="D7" s="11" t="n">
        <f aca="false">COUNTIF(Candidates!$A$5:$A$34,A7)</f>
        <v>10</v>
      </c>
      <c r="E7" s="11" t="n">
        <f aca="false">COUNTIFS(Candidates!$A$5:$A$34,$A7,Candidates!$G$5:$G$34,"A")</f>
        <v>2</v>
      </c>
      <c r="F7" s="11" t="n">
        <f aca="false">COUNTIFS(Candidates!$A$5:$A$34,$A7,Candidates!$G$5:$G$34,"B")</f>
        <v>3</v>
      </c>
      <c r="G7" s="11" t="n">
        <f aca="false">COUNTIFS(Candidates!$A$5:$A$34,$A7,Candidates!$G$5:$G$34,"C")</f>
        <v>3</v>
      </c>
      <c r="H7" s="11" t="n">
        <f aca="false">COUNTIFS(Candidates!$A$5:$A$34,$A7,Candidates!$G$5:$G$34,"D")</f>
        <v>2</v>
      </c>
    </row>
    <row r="8" customFormat="false" ht="15" hidden="false" customHeight="false" outlineLevel="0" collapsed="false">
      <c r="A8" s="13" t="s">
        <v>86</v>
      </c>
      <c r="D8" s="14" t="n">
        <f aca="false">SUM(D5:D7)</f>
        <v>30</v>
      </c>
      <c r="E8" s="14" t="n">
        <f aca="false">SUM(E5:E7)</f>
        <v>8</v>
      </c>
      <c r="F8" s="14" t="n">
        <f aca="false">SUM(F5:F7)</f>
        <v>8</v>
      </c>
      <c r="G8" s="14" t="n">
        <f aca="false">SUM(G5:G7)</f>
        <v>8</v>
      </c>
      <c r="H8" s="14" t="n">
        <f aca="false">SUM(H5:H7)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30" hidden="false" customHeight="true" outlineLevel="0" collapsed="false">
      <c r="A4" s="3" t="s">
        <v>8</v>
      </c>
      <c r="B4" s="3" t="s">
        <v>89</v>
      </c>
      <c r="C4" s="3" t="s">
        <v>90</v>
      </c>
      <c r="D4" s="3" t="s">
        <v>91</v>
      </c>
      <c r="E4" s="3" t="s">
        <v>92</v>
      </c>
    </row>
    <row r="5" customFormat="false" ht="15" hidden="false" customHeight="false" outlineLevel="0" collapsed="false">
      <c r="A5" s="15" t="s">
        <v>93</v>
      </c>
      <c r="B5" s="16" t="n">
        <v>1500</v>
      </c>
      <c r="C5" s="17" t="n">
        <v>1.25</v>
      </c>
      <c r="D5" s="15" t="n">
        <f aca="false">COUNTIF(Voters!$D$5:$D$44,A5)</f>
        <v>10</v>
      </c>
      <c r="E5" s="18" t="n">
        <f aca="false">C5*D5</f>
        <v>12.5</v>
      </c>
    </row>
    <row r="6" customFormat="false" ht="15" hidden="false" customHeight="false" outlineLevel="0" collapsed="false">
      <c r="A6" s="15" t="s">
        <v>94</v>
      </c>
      <c r="B6" s="16" t="n">
        <v>1200</v>
      </c>
      <c r="C6" s="17" t="n">
        <v>1</v>
      </c>
      <c r="D6" s="15" t="n">
        <f aca="false">COUNTIF(Voters!$D$5:$D$44,A6)</f>
        <v>10</v>
      </c>
      <c r="E6" s="18" t="n">
        <f aca="false">C6*D6</f>
        <v>10</v>
      </c>
    </row>
    <row r="7" customFormat="false" ht="15" hidden="false" customHeight="false" outlineLevel="0" collapsed="false">
      <c r="A7" s="15" t="s">
        <v>95</v>
      </c>
      <c r="B7" s="16" t="n">
        <v>1800</v>
      </c>
      <c r="C7" s="17" t="n">
        <v>1.5</v>
      </c>
      <c r="D7" s="15" t="n">
        <f aca="false">COUNTIF(Voters!$D$5:$D$44,A7)</f>
        <v>10</v>
      </c>
      <c r="E7" s="18" t="n">
        <f aca="false">C7*D7</f>
        <v>15</v>
      </c>
    </row>
    <row r="8" customFormat="false" ht="15" hidden="false" customHeight="false" outlineLevel="0" collapsed="false">
      <c r="A8" s="15" t="s">
        <v>96</v>
      </c>
      <c r="B8" s="16" t="n">
        <v>2100</v>
      </c>
      <c r="C8" s="17" t="n">
        <v>1.75</v>
      </c>
      <c r="D8" s="15" t="n">
        <f aca="false">COUNTIF(Voters!$D$5:$D$44,A8)</f>
        <v>10</v>
      </c>
      <c r="E8" s="18" t="n">
        <f aca="false">C8*D8</f>
        <v>17.5</v>
      </c>
    </row>
    <row r="9" customFormat="false" ht="15" hidden="false" customHeight="false" outlineLevel="0" collapsed="false">
      <c r="A9" s="13" t="s">
        <v>86</v>
      </c>
      <c r="D9" s="14" t="n">
        <f aca="false">SUM(D5:D8)</f>
        <v>40</v>
      </c>
      <c r="E9" s="19" t="n">
        <f aca="false">SUM(E5:E8)</f>
        <v>55</v>
      </c>
    </row>
    <row r="11" customFormat="false" ht="15" hidden="false" customHeight="false" outlineLevel="0" collapsed="false">
      <c r="A11" s="20" t="s">
        <v>97</v>
      </c>
      <c r="D11" s="21" t="n">
        <v>1</v>
      </c>
    </row>
    <row r="13" customFormat="false" ht="15" hidden="false" customHeight="false" outlineLevel="0" collapsed="false">
      <c r="A13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30" hidden="false" customHeight="true" outlineLevel="0" collapsed="false">
      <c r="A4" s="3" t="s">
        <v>101</v>
      </c>
      <c r="B4" s="3" t="s">
        <v>102</v>
      </c>
      <c r="C4" s="3" t="s">
        <v>7</v>
      </c>
      <c r="D4" s="3" t="s">
        <v>8</v>
      </c>
      <c r="E4" s="3" t="s">
        <v>90</v>
      </c>
      <c r="F4" s="3" t="s">
        <v>103</v>
      </c>
    </row>
    <row r="5" customFormat="false" ht="15" hidden="false" customHeight="false" outlineLevel="0" collapsed="false">
      <c r="A5" s="15" t="s">
        <v>104</v>
      </c>
      <c r="B5" s="22" t="s">
        <v>105</v>
      </c>
      <c r="C5" s="15" t="s">
        <v>13</v>
      </c>
      <c r="D5" s="15" t="str">
        <f aca="false">LEFT(C5,FIND("-",C5)-1)</f>
        <v>A</v>
      </c>
      <c r="E5" s="18" t="n">
        <f aca="false">IFERROR(INDEX('Block Weights'!$C$5:$C$8,MATCH(D5,'Block Weights'!$A$5:$A$8,0)),'Block Weights'!$D$11)</f>
        <v>1.25</v>
      </c>
      <c r="F5" s="22" t="s">
        <v>106</v>
      </c>
    </row>
    <row r="6" customFormat="false" ht="15" hidden="false" customHeight="false" outlineLevel="0" collapsed="false">
      <c r="A6" s="15" t="s">
        <v>107</v>
      </c>
      <c r="B6" s="22" t="s">
        <v>108</v>
      </c>
      <c r="C6" s="15" t="s">
        <v>109</v>
      </c>
      <c r="D6" s="15" t="str">
        <f aca="false">LEFT(C6,FIND("-",C6)-1)</f>
        <v>A</v>
      </c>
      <c r="E6" s="18" t="n">
        <f aca="false">IFERROR(INDEX('Block Weights'!$C$5:$C$8,MATCH(D6,'Block Weights'!$A$5:$A$8,0)),'Block Weights'!$D$11)</f>
        <v>1.25</v>
      </c>
      <c r="F6" s="22" t="s">
        <v>106</v>
      </c>
    </row>
    <row r="7" customFormat="false" ht="15" hidden="false" customHeight="false" outlineLevel="0" collapsed="false">
      <c r="A7" s="15" t="s">
        <v>110</v>
      </c>
      <c r="B7" s="22" t="s">
        <v>111</v>
      </c>
      <c r="C7" s="15" t="s">
        <v>112</v>
      </c>
      <c r="D7" s="15" t="str">
        <f aca="false">LEFT(C7,FIND("-",C7)-1)</f>
        <v>A</v>
      </c>
      <c r="E7" s="18" t="n">
        <f aca="false">IFERROR(INDEX('Block Weights'!$C$5:$C$8,MATCH(D7,'Block Weights'!$A$5:$A$8,0)),'Block Weights'!$D$11)</f>
        <v>1.25</v>
      </c>
      <c r="F7" s="22" t="s">
        <v>106</v>
      </c>
    </row>
    <row r="8" customFormat="false" ht="15" hidden="false" customHeight="false" outlineLevel="0" collapsed="false">
      <c r="A8" s="15" t="s">
        <v>113</v>
      </c>
      <c r="B8" s="22" t="s">
        <v>114</v>
      </c>
      <c r="C8" s="15" t="s">
        <v>115</v>
      </c>
      <c r="D8" s="15" t="str">
        <f aca="false">LEFT(C8,FIND("-",C8)-1)</f>
        <v>A</v>
      </c>
      <c r="E8" s="18" t="n">
        <f aca="false">IFERROR(INDEX('Block Weights'!$C$5:$C$8,MATCH(D8,'Block Weights'!$A$5:$A$8,0)),'Block Weights'!$D$11)</f>
        <v>1.25</v>
      </c>
      <c r="F8" s="22" t="s">
        <v>106</v>
      </c>
    </row>
    <row r="9" customFormat="false" ht="15" hidden="false" customHeight="false" outlineLevel="0" collapsed="false">
      <c r="A9" s="15" t="s">
        <v>116</v>
      </c>
      <c r="B9" s="22" t="s">
        <v>12</v>
      </c>
      <c r="C9" s="15" t="s">
        <v>117</v>
      </c>
      <c r="D9" s="15" t="str">
        <f aca="false">LEFT(C9,FIND("-",C9)-1)</f>
        <v>A</v>
      </c>
      <c r="E9" s="18" t="n">
        <f aca="false">IFERROR(INDEX('Block Weights'!$C$5:$C$8,MATCH(D9,'Block Weights'!$A$5:$A$8,0)),'Block Weights'!$D$11)</f>
        <v>1.25</v>
      </c>
      <c r="F9" s="22" t="s">
        <v>106</v>
      </c>
    </row>
    <row r="10" customFormat="false" ht="15" hidden="false" customHeight="false" outlineLevel="0" collapsed="false">
      <c r="A10" s="15" t="s">
        <v>118</v>
      </c>
      <c r="B10" s="22" t="s">
        <v>53</v>
      </c>
      <c r="C10" s="15" t="s">
        <v>54</v>
      </c>
      <c r="D10" s="15" t="str">
        <f aca="false">LEFT(C10,FIND("-",C10)-1)</f>
        <v>A</v>
      </c>
      <c r="E10" s="18" t="n">
        <f aca="false">IFERROR(INDEX('Block Weights'!$C$5:$C$8,MATCH(D10,'Block Weights'!$A$5:$A$8,0)),'Block Weights'!$D$11)</f>
        <v>1.25</v>
      </c>
      <c r="F10" s="22" t="s">
        <v>106</v>
      </c>
    </row>
    <row r="11" customFormat="false" ht="15" hidden="false" customHeight="false" outlineLevel="0" collapsed="false">
      <c r="A11" s="15" t="s">
        <v>119</v>
      </c>
      <c r="B11" s="22" t="s">
        <v>72</v>
      </c>
      <c r="C11" s="15" t="s">
        <v>73</v>
      </c>
      <c r="D11" s="15" t="str">
        <f aca="false">LEFT(C11,FIND("-",C11)-1)</f>
        <v>A</v>
      </c>
      <c r="E11" s="18" t="n">
        <f aca="false">IFERROR(INDEX('Block Weights'!$C$5:$C$8,MATCH(D11,'Block Weights'!$A$5:$A$8,0)),'Block Weights'!$D$11)</f>
        <v>1.25</v>
      </c>
      <c r="F11" s="22" t="s">
        <v>106</v>
      </c>
    </row>
    <row r="12" customFormat="false" ht="15" hidden="false" customHeight="false" outlineLevel="0" collapsed="false">
      <c r="A12" s="15" t="s">
        <v>120</v>
      </c>
      <c r="B12" s="22" t="s">
        <v>37</v>
      </c>
      <c r="C12" s="15" t="s">
        <v>38</v>
      </c>
      <c r="D12" s="15" t="str">
        <f aca="false">LEFT(C12,FIND("-",C12)-1)</f>
        <v>A</v>
      </c>
      <c r="E12" s="18" t="n">
        <f aca="false">IFERROR(INDEX('Block Weights'!$C$5:$C$8,MATCH(D12,'Block Weights'!$A$5:$A$8,0)),'Block Weights'!$D$11)</f>
        <v>1.25</v>
      </c>
      <c r="F12" s="22" t="s">
        <v>106</v>
      </c>
    </row>
    <row r="13" customFormat="false" ht="15" hidden="false" customHeight="false" outlineLevel="0" collapsed="false">
      <c r="A13" s="15" t="s">
        <v>121</v>
      </c>
      <c r="B13" s="22" t="s">
        <v>122</v>
      </c>
      <c r="C13" s="15" t="s">
        <v>123</v>
      </c>
      <c r="D13" s="15" t="str">
        <f aca="false">LEFT(C13,FIND("-",C13)-1)</f>
        <v>A</v>
      </c>
      <c r="E13" s="18" t="n">
        <f aca="false">IFERROR(INDEX('Block Weights'!$C$5:$C$8,MATCH(D13,'Block Weights'!$A$5:$A$8,0)),'Block Weights'!$D$11)</f>
        <v>1.25</v>
      </c>
      <c r="F13" s="22" t="s">
        <v>106</v>
      </c>
    </row>
    <row r="14" customFormat="false" ht="15" hidden="false" customHeight="false" outlineLevel="0" collapsed="false">
      <c r="A14" s="15" t="s">
        <v>124</v>
      </c>
      <c r="B14" s="22" t="s">
        <v>125</v>
      </c>
      <c r="C14" s="15" t="s">
        <v>126</v>
      </c>
      <c r="D14" s="15" t="str">
        <f aca="false">LEFT(C14,FIND("-",C14)-1)</f>
        <v>A</v>
      </c>
      <c r="E14" s="18" t="n">
        <f aca="false">IFERROR(INDEX('Block Weights'!$C$5:$C$8,MATCH(D14,'Block Weights'!$A$5:$A$8,0)),'Block Weights'!$D$11)</f>
        <v>1.25</v>
      </c>
      <c r="F14" s="22" t="s">
        <v>106</v>
      </c>
    </row>
    <row r="15" customFormat="false" ht="15" hidden="false" customHeight="false" outlineLevel="0" collapsed="false">
      <c r="A15" s="15" t="s">
        <v>127</v>
      </c>
      <c r="B15" s="22" t="s">
        <v>128</v>
      </c>
      <c r="C15" s="15" t="s">
        <v>129</v>
      </c>
      <c r="D15" s="15" t="str">
        <f aca="false">LEFT(C15,FIND("-",C15)-1)</f>
        <v>B</v>
      </c>
      <c r="E15" s="18" t="n">
        <f aca="false">IFERROR(INDEX('Block Weights'!$C$5:$C$8,MATCH(D15,'Block Weights'!$A$5:$A$8,0)),'Block Weights'!$D$11)</f>
        <v>1</v>
      </c>
      <c r="F15" s="22" t="s">
        <v>106</v>
      </c>
    </row>
    <row r="16" customFormat="false" ht="15" hidden="false" customHeight="false" outlineLevel="0" collapsed="false">
      <c r="A16" s="15" t="s">
        <v>130</v>
      </c>
      <c r="B16" s="22" t="s">
        <v>131</v>
      </c>
      <c r="C16" s="15" t="s">
        <v>132</v>
      </c>
      <c r="D16" s="15" t="str">
        <f aca="false">LEFT(C16,FIND("-",C16)-1)</f>
        <v>B</v>
      </c>
      <c r="E16" s="18" t="n">
        <f aca="false">IFERROR(INDEX('Block Weights'!$C$5:$C$8,MATCH(D16,'Block Weights'!$A$5:$A$8,0)),'Block Weights'!$D$11)</f>
        <v>1</v>
      </c>
      <c r="F16" s="22" t="s">
        <v>106</v>
      </c>
    </row>
    <row r="17" customFormat="false" ht="15" hidden="false" customHeight="false" outlineLevel="0" collapsed="false">
      <c r="A17" s="15" t="s">
        <v>133</v>
      </c>
      <c r="B17" s="22" t="s">
        <v>22</v>
      </c>
      <c r="C17" s="15" t="s">
        <v>23</v>
      </c>
      <c r="D17" s="15" t="str">
        <f aca="false">LEFT(C17,FIND("-",C17)-1)</f>
        <v>B</v>
      </c>
      <c r="E17" s="18" t="n">
        <f aca="false">IFERROR(INDEX('Block Weights'!$C$5:$C$8,MATCH(D17,'Block Weights'!$A$5:$A$8,0)),'Block Weights'!$D$11)</f>
        <v>1</v>
      </c>
      <c r="F17" s="22" t="s">
        <v>106</v>
      </c>
    </row>
    <row r="18" customFormat="false" ht="15" hidden="false" customHeight="false" outlineLevel="0" collapsed="false">
      <c r="A18" s="15" t="s">
        <v>134</v>
      </c>
      <c r="B18" s="22" t="s">
        <v>74</v>
      </c>
      <c r="C18" s="15" t="s">
        <v>75</v>
      </c>
      <c r="D18" s="15" t="str">
        <f aca="false">LEFT(C18,FIND("-",C18)-1)</f>
        <v>B</v>
      </c>
      <c r="E18" s="18" t="n">
        <f aca="false">IFERROR(INDEX('Block Weights'!$C$5:$C$8,MATCH(D18,'Block Weights'!$A$5:$A$8,0)),'Block Weights'!$D$11)</f>
        <v>1</v>
      </c>
      <c r="F18" s="22" t="s">
        <v>106</v>
      </c>
    </row>
    <row r="19" customFormat="false" ht="15" hidden="false" customHeight="false" outlineLevel="0" collapsed="false">
      <c r="A19" s="15" t="s">
        <v>135</v>
      </c>
      <c r="B19" s="22" t="s">
        <v>136</v>
      </c>
      <c r="C19" s="15" t="s">
        <v>137</v>
      </c>
      <c r="D19" s="15" t="str">
        <f aca="false">LEFT(C19,FIND("-",C19)-1)</f>
        <v>B</v>
      </c>
      <c r="E19" s="18" t="n">
        <f aca="false">IFERROR(INDEX('Block Weights'!$C$5:$C$8,MATCH(D19,'Block Weights'!$A$5:$A$8,0)),'Block Weights'!$D$11)</f>
        <v>1</v>
      </c>
      <c r="F19" s="22" t="s">
        <v>106</v>
      </c>
    </row>
    <row r="20" customFormat="false" ht="15" hidden="false" customHeight="false" outlineLevel="0" collapsed="false">
      <c r="A20" s="15" t="s">
        <v>138</v>
      </c>
      <c r="B20" s="22" t="s">
        <v>14</v>
      </c>
      <c r="C20" s="15" t="s">
        <v>15</v>
      </c>
      <c r="D20" s="15" t="str">
        <f aca="false">LEFT(C20,FIND("-",C20)-1)</f>
        <v>B</v>
      </c>
      <c r="E20" s="18" t="n">
        <f aca="false">IFERROR(INDEX('Block Weights'!$C$5:$C$8,MATCH(D20,'Block Weights'!$A$5:$A$8,0)),'Block Weights'!$D$11)</f>
        <v>1</v>
      </c>
      <c r="F20" s="22" t="s">
        <v>106</v>
      </c>
    </row>
    <row r="21" customFormat="false" ht="15" hidden="false" customHeight="false" outlineLevel="0" collapsed="false">
      <c r="A21" s="15" t="s">
        <v>139</v>
      </c>
      <c r="B21" s="22" t="s">
        <v>47</v>
      </c>
      <c r="C21" s="15" t="s">
        <v>48</v>
      </c>
      <c r="D21" s="15" t="str">
        <f aca="false">LEFT(C21,FIND("-",C21)-1)</f>
        <v>B</v>
      </c>
      <c r="E21" s="18" t="n">
        <f aca="false">IFERROR(INDEX('Block Weights'!$C$5:$C$8,MATCH(D21,'Block Weights'!$A$5:$A$8,0)),'Block Weights'!$D$11)</f>
        <v>1</v>
      </c>
      <c r="F21" s="22" t="s">
        <v>106</v>
      </c>
    </row>
    <row r="22" customFormat="false" ht="15" hidden="false" customHeight="false" outlineLevel="0" collapsed="false">
      <c r="A22" s="15" t="s">
        <v>140</v>
      </c>
      <c r="B22" s="22" t="s">
        <v>66</v>
      </c>
      <c r="C22" s="15" t="s">
        <v>67</v>
      </c>
      <c r="D22" s="15" t="str">
        <f aca="false">LEFT(C22,FIND("-",C22)-1)</f>
        <v>B</v>
      </c>
      <c r="E22" s="18" t="n">
        <f aca="false">IFERROR(INDEX('Block Weights'!$C$5:$C$8,MATCH(D22,'Block Weights'!$A$5:$A$8,0)),'Block Weights'!$D$11)</f>
        <v>1</v>
      </c>
      <c r="F22" s="22" t="s">
        <v>106</v>
      </c>
    </row>
    <row r="23" customFormat="false" ht="15" hidden="false" customHeight="false" outlineLevel="0" collapsed="false">
      <c r="A23" s="15" t="s">
        <v>141</v>
      </c>
      <c r="B23" s="22" t="s">
        <v>39</v>
      </c>
      <c r="C23" s="15" t="s">
        <v>40</v>
      </c>
      <c r="D23" s="15" t="str">
        <f aca="false">LEFT(C23,FIND("-",C23)-1)</f>
        <v>B</v>
      </c>
      <c r="E23" s="18" t="n">
        <f aca="false">IFERROR(INDEX('Block Weights'!$C$5:$C$8,MATCH(D23,'Block Weights'!$A$5:$A$8,0)),'Block Weights'!$D$11)</f>
        <v>1</v>
      </c>
      <c r="F23" s="22" t="s">
        <v>106</v>
      </c>
    </row>
    <row r="24" customFormat="false" ht="15" hidden="false" customHeight="false" outlineLevel="0" collapsed="false">
      <c r="A24" s="15" t="s">
        <v>142</v>
      </c>
      <c r="B24" s="22" t="s">
        <v>143</v>
      </c>
      <c r="C24" s="15" t="s">
        <v>144</v>
      </c>
      <c r="D24" s="15" t="str">
        <f aca="false">LEFT(C24,FIND("-",C24)-1)</f>
        <v>B</v>
      </c>
      <c r="E24" s="18" t="n">
        <f aca="false">IFERROR(INDEX('Block Weights'!$C$5:$C$8,MATCH(D24,'Block Weights'!$A$5:$A$8,0)),'Block Weights'!$D$11)</f>
        <v>1</v>
      </c>
      <c r="F24" s="22" t="s">
        <v>106</v>
      </c>
    </row>
    <row r="25" customFormat="false" ht="15" hidden="false" customHeight="false" outlineLevel="0" collapsed="false">
      <c r="A25" s="15" t="s">
        <v>145</v>
      </c>
      <c r="B25" s="22" t="s">
        <v>146</v>
      </c>
      <c r="C25" s="15" t="s">
        <v>147</v>
      </c>
      <c r="D25" s="15" t="str">
        <f aca="false">LEFT(C25,FIND("-",C25)-1)</f>
        <v>C</v>
      </c>
      <c r="E25" s="18" t="n">
        <f aca="false">IFERROR(INDEX('Block Weights'!$C$5:$C$8,MATCH(D25,'Block Weights'!$A$5:$A$8,0)),'Block Weights'!$D$11)</f>
        <v>1.5</v>
      </c>
      <c r="F25" s="22" t="s">
        <v>106</v>
      </c>
    </row>
    <row r="26" customFormat="false" ht="15" hidden="false" customHeight="false" outlineLevel="0" collapsed="false">
      <c r="A26" s="15" t="s">
        <v>148</v>
      </c>
      <c r="B26" s="22" t="s">
        <v>30</v>
      </c>
      <c r="C26" s="15" t="s">
        <v>31</v>
      </c>
      <c r="D26" s="15" t="str">
        <f aca="false">LEFT(C26,FIND("-",C26)-1)</f>
        <v>C</v>
      </c>
      <c r="E26" s="18" t="n">
        <f aca="false">IFERROR(INDEX('Block Weights'!$C$5:$C$8,MATCH(D26,'Block Weights'!$A$5:$A$8,0)),'Block Weights'!$D$11)</f>
        <v>1.5</v>
      </c>
      <c r="F26" s="22" t="s">
        <v>106</v>
      </c>
    </row>
    <row r="27" customFormat="false" ht="15" hidden="false" customHeight="false" outlineLevel="0" collapsed="false">
      <c r="A27" s="15" t="s">
        <v>149</v>
      </c>
      <c r="B27" s="22" t="s">
        <v>41</v>
      </c>
      <c r="C27" s="15" t="s">
        <v>42</v>
      </c>
      <c r="D27" s="15" t="str">
        <f aca="false">LEFT(C27,FIND("-",C27)-1)</f>
        <v>C</v>
      </c>
      <c r="E27" s="18" t="n">
        <f aca="false">IFERROR(INDEX('Block Weights'!$C$5:$C$8,MATCH(D27,'Block Weights'!$A$5:$A$8,0)),'Block Weights'!$D$11)</f>
        <v>1.5</v>
      </c>
      <c r="F27" s="22" t="s">
        <v>106</v>
      </c>
    </row>
    <row r="28" customFormat="false" ht="15" hidden="false" customHeight="false" outlineLevel="0" collapsed="false">
      <c r="A28" s="15" t="s">
        <v>150</v>
      </c>
      <c r="B28" s="22" t="s">
        <v>68</v>
      </c>
      <c r="C28" s="15" t="s">
        <v>69</v>
      </c>
      <c r="D28" s="15" t="str">
        <f aca="false">LEFT(C28,FIND("-",C28)-1)</f>
        <v>C</v>
      </c>
      <c r="E28" s="18" t="n">
        <f aca="false">IFERROR(INDEX('Block Weights'!$C$5:$C$8,MATCH(D28,'Block Weights'!$A$5:$A$8,0)),'Block Weights'!$D$11)</f>
        <v>1.5</v>
      </c>
      <c r="F28" s="22" t="s">
        <v>106</v>
      </c>
    </row>
    <row r="29" customFormat="false" ht="15" hidden="false" customHeight="false" outlineLevel="0" collapsed="false">
      <c r="A29" s="15" t="s">
        <v>151</v>
      </c>
      <c r="B29" s="22" t="s">
        <v>152</v>
      </c>
      <c r="C29" s="15" t="s">
        <v>153</v>
      </c>
      <c r="D29" s="15" t="str">
        <f aca="false">LEFT(C29,FIND("-",C29)-1)</f>
        <v>C</v>
      </c>
      <c r="E29" s="18" t="n">
        <f aca="false">IFERROR(INDEX('Block Weights'!$C$5:$C$8,MATCH(D29,'Block Weights'!$A$5:$A$8,0)),'Block Weights'!$D$11)</f>
        <v>1.5</v>
      </c>
      <c r="F29" s="22" t="s">
        <v>106</v>
      </c>
    </row>
    <row r="30" customFormat="false" ht="15" hidden="false" customHeight="false" outlineLevel="0" collapsed="false">
      <c r="A30" s="15" t="s">
        <v>154</v>
      </c>
      <c r="B30" s="22" t="s">
        <v>24</v>
      </c>
      <c r="C30" s="15" t="s">
        <v>25</v>
      </c>
      <c r="D30" s="15" t="str">
        <f aca="false">LEFT(C30,FIND("-",C30)-1)</f>
        <v>C</v>
      </c>
      <c r="E30" s="18" t="n">
        <f aca="false">IFERROR(INDEX('Block Weights'!$C$5:$C$8,MATCH(D30,'Block Weights'!$A$5:$A$8,0)),'Block Weights'!$D$11)</f>
        <v>1.5</v>
      </c>
      <c r="F30" s="22" t="s">
        <v>106</v>
      </c>
    </row>
    <row r="31" customFormat="false" ht="15" hidden="false" customHeight="false" outlineLevel="0" collapsed="false">
      <c r="A31" s="15" t="s">
        <v>155</v>
      </c>
      <c r="B31" s="22" t="s">
        <v>60</v>
      </c>
      <c r="C31" s="15" t="s">
        <v>61</v>
      </c>
      <c r="D31" s="15" t="str">
        <f aca="false">LEFT(C31,FIND("-",C31)-1)</f>
        <v>C</v>
      </c>
      <c r="E31" s="18" t="n">
        <f aca="false">IFERROR(INDEX('Block Weights'!$C$5:$C$8,MATCH(D31,'Block Weights'!$A$5:$A$8,0)),'Block Weights'!$D$11)</f>
        <v>1.5</v>
      </c>
      <c r="F31" s="22" t="s">
        <v>106</v>
      </c>
    </row>
    <row r="32" customFormat="false" ht="15" hidden="false" customHeight="false" outlineLevel="0" collapsed="false">
      <c r="A32" s="15" t="s">
        <v>156</v>
      </c>
      <c r="B32" s="22" t="s">
        <v>16</v>
      </c>
      <c r="C32" s="15" t="s">
        <v>17</v>
      </c>
      <c r="D32" s="15" t="str">
        <f aca="false">LEFT(C32,FIND("-",C32)-1)</f>
        <v>C</v>
      </c>
      <c r="E32" s="18" t="n">
        <f aca="false">IFERROR(INDEX('Block Weights'!$C$5:$C$8,MATCH(D32,'Block Weights'!$A$5:$A$8,0)),'Block Weights'!$D$11)</f>
        <v>1.5</v>
      </c>
      <c r="F32" s="22" t="s">
        <v>106</v>
      </c>
    </row>
    <row r="33" customFormat="false" ht="15" hidden="false" customHeight="false" outlineLevel="0" collapsed="false">
      <c r="A33" s="15" t="s">
        <v>157</v>
      </c>
      <c r="B33" s="22" t="s">
        <v>76</v>
      </c>
      <c r="C33" s="15" t="s">
        <v>77</v>
      </c>
      <c r="D33" s="15" t="str">
        <f aca="false">LEFT(C33,FIND("-",C33)-1)</f>
        <v>C</v>
      </c>
      <c r="E33" s="18" t="n">
        <f aca="false">IFERROR(INDEX('Block Weights'!$C$5:$C$8,MATCH(D33,'Block Weights'!$A$5:$A$8,0)),'Block Weights'!$D$11)</f>
        <v>1.5</v>
      </c>
      <c r="F33" s="22" t="s">
        <v>106</v>
      </c>
    </row>
    <row r="34" customFormat="false" ht="15" hidden="false" customHeight="false" outlineLevel="0" collapsed="false">
      <c r="A34" s="15" t="s">
        <v>158</v>
      </c>
      <c r="B34" s="22" t="s">
        <v>49</v>
      </c>
      <c r="C34" s="15" t="s">
        <v>50</v>
      </c>
      <c r="D34" s="15" t="str">
        <f aca="false">LEFT(C34,FIND("-",C34)-1)</f>
        <v>C</v>
      </c>
      <c r="E34" s="18" t="n">
        <f aca="false">IFERROR(INDEX('Block Weights'!$C$5:$C$8,MATCH(D34,'Block Weights'!$A$5:$A$8,0)),'Block Weights'!$D$11)</f>
        <v>1.5</v>
      </c>
      <c r="F34" s="22" t="s">
        <v>106</v>
      </c>
    </row>
    <row r="35" customFormat="false" ht="15" hidden="false" customHeight="false" outlineLevel="0" collapsed="false">
      <c r="A35" s="15" t="s">
        <v>159</v>
      </c>
      <c r="B35" s="22" t="s">
        <v>160</v>
      </c>
      <c r="C35" s="15" t="s">
        <v>161</v>
      </c>
      <c r="D35" s="15" t="str">
        <f aca="false">LEFT(C35,FIND("-",C35)-1)</f>
        <v>D</v>
      </c>
      <c r="E35" s="18" t="n">
        <f aca="false">IFERROR(INDEX('Block Weights'!$C$5:$C$8,MATCH(D35,'Block Weights'!$A$5:$A$8,0)),'Block Weights'!$D$11)</f>
        <v>1.75</v>
      </c>
      <c r="F35" s="22" t="s">
        <v>106</v>
      </c>
    </row>
    <row r="36" customFormat="false" ht="15" hidden="false" customHeight="false" outlineLevel="0" collapsed="false">
      <c r="A36" s="15" t="s">
        <v>162</v>
      </c>
      <c r="B36" s="22" t="s">
        <v>20</v>
      </c>
      <c r="C36" s="15" t="s">
        <v>21</v>
      </c>
      <c r="D36" s="15" t="str">
        <f aca="false">LEFT(C36,FIND("-",C36)-1)</f>
        <v>D</v>
      </c>
      <c r="E36" s="18" t="n">
        <f aca="false">IFERROR(INDEX('Block Weights'!$C$5:$C$8,MATCH(D36,'Block Weights'!$A$5:$A$8,0)),'Block Weights'!$D$11)</f>
        <v>1.75</v>
      </c>
      <c r="F36" s="22" t="s">
        <v>106</v>
      </c>
    </row>
    <row r="37" customFormat="false" ht="15" hidden="false" customHeight="false" outlineLevel="0" collapsed="false">
      <c r="A37" s="15" t="s">
        <v>163</v>
      </c>
      <c r="B37" s="22" t="s">
        <v>51</v>
      </c>
      <c r="C37" s="15" t="s">
        <v>52</v>
      </c>
      <c r="D37" s="15" t="str">
        <f aca="false">LEFT(C37,FIND("-",C37)-1)</f>
        <v>D</v>
      </c>
      <c r="E37" s="18" t="n">
        <f aca="false">IFERROR(INDEX('Block Weights'!$C$5:$C$8,MATCH(D37,'Block Weights'!$A$5:$A$8,0)),'Block Weights'!$D$11)</f>
        <v>1.75</v>
      </c>
      <c r="F37" s="22" t="s">
        <v>106</v>
      </c>
    </row>
    <row r="38" customFormat="false" ht="15" hidden="false" customHeight="false" outlineLevel="0" collapsed="false">
      <c r="A38" s="15" t="s">
        <v>164</v>
      </c>
      <c r="B38" s="22" t="s">
        <v>165</v>
      </c>
      <c r="C38" s="15" t="s">
        <v>166</v>
      </c>
      <c r="D38" s="15" t="str">
        <f aca="false">LEFT(C38,FIND("-",C38)-1)</f>
        <v>D</v>
      </c>
      <c r="E38" s="18" t="n">
        <f aca="false">IFERROR(INDEX('Block Weights'!$C$5:$C$8,MATCH(D38,'Block Weights'!$A$5:$A$8,0)),'Block Weights'!$D$11)</f>
        <v>1.75</v>
      </c>
      <c r="F38" s="22" t="s">
        <v>106</v>
      </c>
    </row>
    <row r="39" customFormat="false" ht="15" hidden="false" customHeight="false" outlineLevel="0" collapsed="false">
      <c r="A39" s="15" t="s">
        <v>167</v>
      </c>
      <c r="B39" s="22" t="s">
        <v>35</v>
      </c>
      <c r="C39" s="15" t="s">
        <v>36</v>
      </c>
      <c r="D39" s="15" t="str">
        <f aca="false">LEFT(C39,FIND("-",C39)-1)</f>
        <v>D</v>
      </c>
      <c r="E39" s="18" t="n">
        <f aca="false">IFERROR(INDEX('Block Weights'!$C$5:$C$8,MATCH(D39,'Block Weights'!$A$5:$A$8,0)),'Block Weights'!$D$11)</f>
        <v>1.75</v>
      </c>
      <c r="F39" s="22" t="s">
        <v>106</v>
      </c>
    </row>
    <row r="40" customFormat="false" ht="15" hidden="false" customHeight="false" outlineLevel="0" collapsed="false">
      <c r="A40" s="15" t="s">
        <v>168</v>
      </c>
      <c r="B40" s="22" t="s">
        <v>70</v>
      </c>
      <c r="C40" s="15" t="s">
        <v>71</v>
      </c>
      <c r="D40" s="15" t="str">
        <f aca="false">LEFT(C40,FIND("-",C40)-1)</f>
        <v>D</v>
      </c>
      <c r="E40" s="18" t="n">
        <f aca="false">IFERROR(INDEX('Block Weights'!$C$5:$C$8,MATCH(D40,'Block Weights'!$A$5:$A$8,0)),'Block Weights'!$D$11)</f>
        <v>1.75</v>
      </c>
      <c r="F40" s="22" t="s">
        <v>106</v>
      </c>
    </row>
    <row r="41" customFormat="false" ht="15" hidden="false" customHeight="false" outlineLevel="0" collapsed="false">
      <c r="A41" s="15" t="s">
        <v>169</v>
      </c>
      <c r="B41" s="22" t="s">
        <v>170</v>
      </c>
      <c r="C41" s="15" t="s">
        <v>171</v>
      </c>
      <c r="D41" s="15" t="str">
        <f aca="false">LEFT(C41,FIND("-",C41)-1)</f>
        <v>D</v>
      </c>
      <c r="E41" s="18" t="n">
        <f aca="false">IFERROR(INDEX('Block Weights'!$C$5:$C$8,MATCH(D41,'Block Weights'!$A$5:$A$8,0)),'Block Weights'!$D$11)</f>
        <v>1.75</v>
      </c>
      <c r="F41" s="22" t="s">
        <v>106</v>
      </c>
    </row>
    <row r="42" customFormat="false" ht="15" hidden="false" customHeight="false" outlineLevel="0" collapsed="false">
      <c r="A42" s="15" t="s">
        <v>172</v>
      </c>
      <c r="B42" s="22" t="s">
        <v>43</v>
      </c>
      <c r="C42" s="15" t="s">
        <v>44</v>
      </c>
      <c r="D42" s="15" t="str">
        <f aca="false">LEFT(C42,FIND("-",C42)-1)</f>
        <v>D</v>
      </c>
      <c r="E42" s="18" t="n">
        <f aca="false">IFERROR(INDEX('Block Weights'!$C$5:$C$8,MATCH(D42,'Block Weights'!$A$5:$A$8,0)),'Block Weights'!$D$11)</f>
        <v>1.75</v>
      </c>
      <c r="F42" s="22" t="s">
        <v>106</v>
      </c>
    </row>
    <row r="43" customFormat="false" ht="15" hidden="false" customHeight="false" outlineLevel="0" collapsed="false">
      <c r="A43" s="15" t="s">
        <v>173</v>
      </c>
      <c r="B43" s="22" t="s">
        <v>62</v>
      </c>
      <c r="C43" s="15" t="s">
        <v>63</v>
      </c>
      <c r="D43" s="15" t="str">
        <f aca="false">LEFT(C43,FIND("-",C43)-1)</f>
        <v>D</v>
      </c>
      <c r="E43" s="18" t="n">
        <f aca="false">IFERROR(INDEX('Block Weights'!$C$5:$C$8,MATCH(D43,'Block Weights'!$A$5:$A$8,0)),'Block Weights'!$D$11)</f>
        <v>1.75</v>
      </c>
      <c r="F43" s="22" t="s">
        <v>106</v>
      </c>
    </row>
    <row r="44" customFormat="false" ht="15" hidden="false" customHeight="false" outlineLevel="0" collapsed="false">
      <c r="A44" s="15" t="s">
        <v>174</v>
      </c>
      <c r="B44" s="22" t="s">
        <v>175</v>
      </c>
      <c r="C44" s="15" t="s">
        <v>176</v>
      </c>
      <c r="D44" s="15" t="str">
        <f aca="false">LEFT(C44,FIND("-",C44)-1)</f>
        <v>D</v>
      </c>
      <c r="E44" s="18" t="n">
        <f aca="false">IFERROR(INDEX('Block Weights'!$C$5:$C$8,MATCH(D44,'Block Weights'!$A$5:$A$8,0)),'Block Weights'!$D$11)</f>
        <v>1.75</v>
      </c>
      <c r="F44" s="22" t="s">
        <v>106</v>
      </c>
    </row>
    <row r="46" customFormat="false" ht="15" hidden="false" customHeight="false" outlineLevel="0" collapsed="false">
      <c r="B46" s="13" t="s">
        <v>177</v>
      </c>
      <c r="C46" s="13" t="n">
        <f aca="false">COUNTA(B5:B44)</f>
        <v>40</v>
      </c>
    </row>
    <row r="47" customFormat="false" ht="15" hidden="false" customHeight="false" outlineLevel="0" collapsed="false">
      <c r="B47" s="13" t="s">
        <v>178</v>
      </c>
      <c r="E47" s="23" t="n">
        <f aca="false">SUM(E5:E44)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2026-10-05T18:33:48Z</dcterms:created>
  <dc:creator>openpyxl</dc:creator>
  <dc:description/>
  <dc:language>en-US</dc:language>
  <cp:lastModifiedBy/>
  <dcterms:modified xsi:type="dcterms:W3CDTF">2026-10-05T18:33:48Z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